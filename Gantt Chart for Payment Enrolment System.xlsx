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filterPrivacy="1" codeName="ThisWorkbook"/>
  <xr:revisionPtr revIDLastSave="0" documentId="8_{14334F23-2693-4936-9AF0-BD745528530C}" xr6:coauthVersionLast="47" xr6:coauthVersionMax="47" xr10:uidLastSave="{00000000-0000-0000-0000-000000000000}"/>
  <bookViews>
    <workbookView xWindow="-120" yWindow="-120" windowWidth="38640" windowHeight="2112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1" l="1"/>
  <c r="I4" i="11"/>
  <c r="J5" i="11"/>
  <c r="K5" i="11"/>
  <c r="L5" i="11"/>
  <c r="M5" i="11"/>
  <c r="N5" i="11"/>
  <c r="O5" i="11"/>
  <c r="P5" i="11"/>
  <c r="P4" i="11"/>
  <c r="Q5" i="11"/>
  <c r="R5" i="11"/>
  <c r="S5" i="11"/>
  <c r="T5" i="11"/>
  <c r="U5" i="11"/>
  <c r="V5" i="11"/>
  <c r="W5" i="11"/>
  <c r="W4" i="11"/>
  <c r="X5" i="11"/>
  <c r="Y5" i="11"/>
  <c r="Z5" i="11"/>
  <c r="AA5" i="11"/>
  <c r="AB5" i="11"/>
  <c r="AC5" i="11"/>
  <c r="AD5" i="11"/>
  <c r="AD4" i="11"/>
  <c r="AE5" i="11"/>
  <c r="AF5" i="11"/>
  <c r="AG5" i="11"/>
  <c r="AH5" i="11"/>
  <c r="AI5" i="11"/>
  <c r="AJ5" i="11"/>
  <c r="AK5" i="11"/>
  <c r="AK4" i="11"/>
  <c r="AL5" i="11"/>
  <c r="AM5" i="11"/>
  <c r="AN5" i="11"/>
  <c r="AO5" i="11"/>
  <c r="AP5" i="11"/>
  <c r="AQ5" i="11"/>
  <c r="AR5" i="11"/>
  <c r="AR4" i="11"/>
  <c r="AS5" i="11"/>
  <c r="AT5" i="11"/>
  <c r="AU5" i="11"/>
  <c r="AV5" i="11"/>
  <c r="AW5" i="11"/>
  <c r="AX5" i="11"/>
  <c r="AY5" i="11"/>
  <c r="AY4" i="11"/>
  <c r="AZ5" i="11"/>
  <c r="BA5" i="11"/>
  <c r="BB5" i="11"/>
  <c r="BC5" i="11"/>
  <c r="BD5" i="11"/>
  <c r="BE5" i="11"/>
  <c r="BF5" i="11"/>
  <c r="BF4" i="11"/>
  <c r="BG5" i="11"/>
  <c r="BH5" i="11"/>
  <c r="BI5" i="11"/>
  <c r="BJ5" i="11"/>
  <c r="BK5" i="11"/>
  <c r="I6" i="11"/>
  <c r="J6" i="11"/>
  <c r="K6" i="11"/>
  <c r="L6" i="11"/>
  <c r="M6" i="11"/>
  <c r="N6" i="11"/>
  <c r="O6" i="11"/>
  <c r="P6" i="11"/>
  <c r="Q6" i="11"/>
  <c r="R6" i="11"/>
  <c r="S6" i="11"/>
  <c r="T6" i="11"/>
  <c r="U6" i="11"/>
  <c r="V6" i="11"/>
  <c r="W6" i="11"/>
  <c r="X6" i="11"/>
  <c r="Y6" i="11"/>
  <c r="Z6" i="11"/>
  <c r="AA6" i="11"/>
  <c r="AB6" i="11"/>
  <c r="AC6" i="11"/>
  <c r="AD6" i="11"/>
  <c r="AE6" i="11"/>
  <c r="AF6" i="11"/>
  <c r="AG6" i="11"/>
  <c r="AH6" i="11"/>
  <c r="AI6" i="11"/>
  <c r="AJ6" i="11"/>
  <c r="AK6" i="11"/>
  <c r="AL6" i="11"/>
  <c r="AM6" i="11"/>
  <c r="AN6" i="11"/>
  <c r="AO6" i="11"/>
  <c r="AP6" i="11"/>
  <c r="AQ6" i="11"/>
  <c r="AR6" i="11"/>
  <c r="AS6" i="11"/>
  <c r="AT6" i="11"/>
  <c r="AU6" i="11"/>
  <c r="AV6" i="11"/>
  <c r="AW6" i="11"/>
  <c r="AX6" i="11"/>
  <c r="AY6" i="11"/>
  <c r="AZ6" i="11"/>
  <c r="BA6" i="11"/>
  <c r="BB6" i="11"/>
  <c r="BC6" i="11"/>
  <c r="BD6" i="11"/>
  <c r="BE6" i="11"/>
  <c r="BF6" i="11"/>
  <c r="BG6" i="11"/>
  <c r="BH6" i="11"/>
  <c r="BI6" i="11"/>
  <c r="BJ6" i="11"/>
  <c r="BK6" i="11"/>
  <c r="H7" i="11"/>
  <c r="H8" i="11"/>
  <c r="H9" i="11"/>
  <c r="H10" i="11"/>
  <c r="H11" i="11"/>
  <c r="H12" i="11"/>
  <c r="E13" i="11"/>
  <c r="H13" i="11"/>
  <c r="H67" i="11"/>
  <c r="H68" i="11"/>
  <c r="E69" i="11"/>
  <c r="F69" i="11"/>
  <c r="H69" i="11"/>
  <c r="E70" i="11"/>
  <c r="F70" i="11"/>
  <c r="H70" i="11"/>
  <c r="E71" i="11"/>
  <c r="F71" i="11"/>
  <c r="H71" i="11"/>
  <c r="E72" i="11"/>
  <c r="F72" i="11"/>
  <c r="H72" i="11"/>
  <c r="E73" i="11"/>
  <c r="F73" i="11"/>
  <c r="H73" i="11"/>
  <c r="H74" i="11"/>
  <c r="H75" i="11"/>
  <c r="H76" i="11"/>
  <c r="H77" i="11"/>
  <c r="H78" i="11"/>
  <c r="H79" i="11"/>
  <c r="H80" i="11"/>
  <c r="H81" i="11"/>
  <c r="BL5" i="11"/>
  <c r="BL6" i="11"/>
</calcChain>
</file>

<file path=xl/sharedStrings.xml><?xml version="1.0" encoding="utf-8"?>
<sst xmlns="http://schemas.openxmlformats.org/spreadsheetml/2006/main" count="158" uniqueCount="115">
  <si>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</si>
  <si>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PROJECT TITLE</t>
  </si>
  <si>
    <t>Payment enrollment system</t>
  </si>
  <si>
    <t>SIMPLE GANTT CHART by Vertex42.com</t>
  </si>
  <si>
    <t>Enter Company Name in cell B2.</t>
  </si>
  <si>
    <t>Company Name</t>
  </si>
  <si>
    <t>Team 2</t>
  </si>
  <si>
    <t>https://www.vertex42.com/ExcelTemplates/simple-gantt-chart.html</t>
  </si>
  <si>
    <t>Enter the name of the Project Lead in cell B3. Enter the Project Start date in cell E3. Pooject Start: label is in cell C3.</t>
  </si>
  <si>
    <t>Project Lead</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</si>
  <si>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</si>
  <si>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</si>
  <si>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</si>
  <si>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</si>
  <si>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</si>
  <si>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</si>
  <si>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</si>
  <si>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</si>
  <si>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</si>
  <si>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</si>
  <si>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</si>
  <si>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</si>
  <si>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</si>
  <si>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Framework exploration (Planning)</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</si>
  <si>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</si>
  <si>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For front end</t>
  </si>
  <si>
    <t>Peter</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</si>
  <si>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</si>
  <si>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Back end</t>
  </si>
  <si>
    <t>Konstantinos, Andreas</t>
  </si>
  <si>
    <t>Database</t>
  </si>
  <si>
    <t>Thomas, Eirineos</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</si>
  <si>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</si>
  <si>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System design (Implementation)</t>
  </si>
  <si>
    <t>Login Page</t>
  </si>
  <si>
    <t>Login Page - Frontend</t>
  </si>
  <si>
    <t>Login Page - Frontend: jsx</t>
  </si>
  <si>
    <t>Login Page - Frontend: css</t>
  </si>
  <si>
    <t>Login page - Backend</t>
  </si>
  <si>
    <t>Login Page - Backend: hook()</t>
  </si>
  <si>
    <t>Andreas</t>
  </si>
  <si>
    <t>Login Page - Backend: logincheck()</t>
  </si>
  <si>
    <t>Andreas, Thomas</t>
  </si>
  <si>
    <t>Login Page - Backend: db()</t>
  </si>
  <si>
    <t>Thomas</t>
  </si>
  <si>
    <t>Employee Portal</t>
  </si>
  <si>
    <t>Employee Portal - Frontend</t>
  </si>
  <si>
    <t>Employee Portal - Frontend: jsx</t>
  </si>
  <si>
    <t>Employee Portal - Frontend: css</t>
  </si>
  <si>
    <t>Employee Portal - Backend</t>
  </si>
  <si>
    <t>Employee Portal - Backend: Leave Request()</t>
  </si>
  <si>
    <t>Konstantinos</t>
  </si>
  <si>
    <t>Employee Portal - Backend: Payslip View()</t>
  </si>
  <si>
    <t>Employee Portal - Database: Schemas(payslips &amp; leaves)</t>
  </si>
  <si>
    <t>Tommy</t>
  </si>
  <si>
    <t>HR Portal</t>
  </si>
  <si>
    <t>HR Portal - Frontend</t>
  </si>
  <si>
    <t>HR Portal - Frontend: jsx</t>
  </si>
  <si>
    <t>HR Portal - Frontend: css</t>
  </si>
  <si>
    <t>HR Portal - Backend</t>
  </si>
  <si>
    <t>HR Portal - Backend: Leave Request() (Pulled from Employee)</t>
  </si>
  <si>
    <t>HR Portal - Backend: Payslip View() (Pulled from Employee)</t>
  </si>
  <si>
    <t>HR Portal - Backend: PayManage()</t>
  </si>
  <si>
    <t>HR Portal - Backend: Add/Remove Employee()</t>
  </si>
  <si>
    <t>HR Portal - Backend: Edit Employee Details()</t>
  </si>
  <si>
    <t>HR Portal - Backend: Manage Leave Requests()</t>
  </si>
  <si>
    <t>Andreas, Konstantinos</t>
  </si>
  <si>
    <t>HR Portal - Database: Schemas()</t>
  </si>
  <si>
    <t>Finance Portal</t>
  </si>
  <si>
    <t>Finance Portal - Frontend</t>
  </si>
  <si>
    <t>Finance Portal - Frontend: jsx</t>
  </si>
  <si>
    <t>Finance Portal - Frontend: css</t>
  </si>
  <si>
    <t>Finance Portal - Backend</t>
  </si>
  <si>
    <t>Finance Portal - Backend: Leave Request() (Pulled from Employee)</t>
  </si>
  <si>
    <t>Finance Portal - Backend: Payslip View() (Pulled from Employee)</t>
  </si>
  <si>
    <t>Finance Portal - Backend: Manage Quarterly Payroll Report()</t>
  </si>
  <si>
    <t>Finance Portal - Backend: Manage Employee Payments()</t>
  </si>
  <si>
    <t>Andreas,Konstantinos</t>
  </si>
  <si>
    <t>Finance Portal - Backend: Database Schemas()</t>
  </si>
  <si>
    <t>Administrator Portal</t>
  </si>
  <si>
    <t>Administrator Portal - Frontend</t>
  </si>
  <si>
    <t>Administrator Portal - Frontend: jsx</t>
  </si>
  <si>
    <t>Administrator Portal - Frontend: css</t>
  </si>
  <si>
    <t>Administrator Portal - Backend</t>
  </si>
  <si>
    <t>Pulled from Employee</t>
  </si>
  <si>
    <t>Admin Portal - Backend: Leave Request() (Pulled from Employee)</t>
  </si>
  <si>
    <t>Admin Portal - Backend: Payslip View() (Pulled from Employee)</t>
  </si>
  <si>
    <t>Pulled from Finance</t>
  </si>
  <si>
    <t>Pulled from HR</t>
  </si>
  <si>
    <t>(IGNORE BELOW HERE - INSERT ABOVE HERE)</t>
  </si>
  <si>
    <t>Sample phase title block</t>
  </si>
  <si>
    <t>Phase 3 Title</t>
  </si>
  <si>
    <t>Task 1</t>
  </si>
  <si>
    <t>Task 2</t>
  </si>
  <si>
    <t>Task 3</t>
  </si>
  <si>
    <t>Task 4</t>
  </si>
  <si>
    <t>Task 5</t>
  </si>
  <si>
    <t>Phase 4 Title</t>
  </si>
  <si>
    <t>date</t>
  </si>
  <si>
    <t>This is an empty row</t>
  </si>
  <si>
    <t>This row marks the end of the Project Schedule. DO NOT enter anything in this row. 
Insert new rows ABOVE this one to continue building out your Project Schedule.</t>
  </si>
  <si>
    <t>Insert new rows ABOVE this one</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</si>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</sst>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_(* \(#,##0\);_(* &quot;-&quot;_);_(@_)"/>
    <numFmt numFmtId="43" formatCode="_(* #,##0.00_);_(* \(#,##0.00\);_(* &quot;-&quot;??_);_(@_)"/>
    <numFmt numFmtId="164" formatCode="_-&quot;£&quot;* #,##0_-;\-&quot;£&quot;* #,##0_-;_-&quot;£&quot;* &quot;-&quot;_-;_-@_-"/>
    <numFmt numFmtId="165" formatCode="_-&quot;£&quot;* #,##0.00_-;\-&quot;£&quot;* #,##0.00_-;_-&quot;£&quot;* &quot;-&quot;??_-;_-@_-"/>
    <numFmt numFmtId="166" formatCode="ddd\,\ dd/mm/yyyy"/>
    <numFmt numFmtId="167" formatCode="d/m/yy;@"/>
    <numFmt numFmtId="168" formatCode="d"/>
    <numFmt numFmtId="169" formatCode="d\ mmm\ yyyy"/>
  </numFmts>
  <fonts count="38">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C0C0C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0" applyNumberFormat="0" applyAlignment="0" applyProtection="0"/>
    <xf numFmtId="0" fontId="31" fillId="18" borderId="11" applyNumberFormat="0" applyAlignment="0" applyProtection="0"/>
    <xf numFmtId="0" fontId="32" fillId="18" borderId="10" applyNumberFormat="0" applyAlignment="0" applyProtection="0"/>
    <xf numFmtId="0" fontId="33" fillId="0" borderId="12" applyNumberFormat="0" applyFill="0" applyAlignment="0" applyProtection="0"/>
    <xf numFmtId="0" fontId="34" fillId="19" borderId="13" applyNumberFormat="0" applyAlignment="0" applyProtection="0"/>
    <xf numFmtId="0" fontId="35" fillId="0" borderId="0" applyNumberFormat="0" applyFill="0" applyBorder="0" applyAlignment="0" applyProtection="0"/>
    <xf numFmtId="0" fontId="9" fillId="20" borderId="14" applyNumberFormat="0" applyFont="0" applyAlignment="0" applyProtection="0"/>
    <xf numFmtId="0" fontId="36" fillId="0" borderId="0" applyNumberFormat="0" applyFill="0" applyBorder="0" applyAlignment="0" applyProtection="0"/>
    <xf numFmtId="0" fontId="6" fillId="0" borderId="15"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0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7"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45" borderId="2" xfId="2" applyFont="1" applyFill="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8" xfId="0" applyBorder="1" applyAlignment="1">
      <alignment vertical="center"/>
    </xf>
    <xf numFmtId="0" fontId="0" fillId="0" borderId="8" xfId="0" applyBorder="1" applyAlignment="1">
      <alignment horizontal="right" vertical="center"/>
    </xf>
    <xf numFmtId="0" fontId="0" fillId="2" borderId="8"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9"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5"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7" fontId="0" fillId="3" borderId="2" xfId="10" applyFont="1" applyFill="1">
      <alignment horizontal="center" vertical="center"/>
    </xf>
    <xf numFmtId="0" fontId="0" fillId="3" borderId="2" xfId="11" applyFont="1" applyFill="1">
      <alignment horizontal="center" vertical="center"/>
    </xf>
    <xf numFmtId="0" fontId="0" fillId="3" borderId="2" xfId="12" applyFont="1" applyFill="1">
      <alignment horizontal="left" vertical="center" indent="2"/>
    </xf>
    <xf numFmtId="9" fontId="5" fillId="4" borderId="2" xfId="2" applyFont="1" applyFill="1" applyBorder="1" applyAlignment="1">
      <alignment horizontal="center" vertical="center" wrapText="1"/>
    </xf>
    <xf numFmtId="0" fontId="9" fillId="4" borderId="2" xfId="12" applyFill="1" applyAlignment="1">
      <alignment horizontal="left" vertical="center" indent="4"/>
    </xf>
    <xf numFmtId="0" fontId="6" fillId="4" borderId="2" xfId="12" applyFont="1" applyFill="1" applyAlignment="1">
      <alignment horizontal="left" vertical="center" indent="3"/>
    </xf>
    <xf numFmtId="0" fontId="6" fillId="4" borderId="2" xfId="12" applyFont="1" applyFill="1">
      <alignment horizontal="left" vertical="center" indent="2"/>
    </xf>
    <xf numFmtId="0" fontId="6" fillId="4" borderId="2" xfId="12" applyFont="1" applyFill="1" applyAlignment="1">
      <alignment horizontal="left" vertical="center" indent="4"/>
    </xf>
    <xf numFmtId="0" fontId="9" fillId="4" borderId="2" xfId="12" applyFill="1" applyAlignment="1">
      <alignment horizontal="left" vertical="center" indent="5"/>
    </xf>
    <xf numFmtId="0" fontId="37" fillId="0" borderId="8" xfId="0" applyFont="1" applyBorder="1" applyAlignment="1">
      <alignment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16" xfId="0" applyNumberFormat="1" applyFill="1" applyBorder="1" applyAlignment="1">
      <alignment horizontal="left" vertical="center" wrapText="1" indent="1"/>
    </xf>
    <xf numFmtId="0" fontId="9" fillId="0" borderId="0" xfId="8" applyAlignment="1">
      <alignment horizontal="right" indent="1"/>
    </xf>
    <xf numFmtId="0" fontId="9" fillId="0" borderId="6" xfId="8" applyBorder="1" applyAlignment="1">
      <alignment horizontal="right" indent="1"/>
    </xf>
    <xf numFmtId="166" fontId="9" fillId="0" borderId="17" xfId="9" applyBorder="1" applyAlignment="1">
      <alignment horizontal="center" vertical="center"/>
    </xf>
    <xf numFmtId="166" fontId="9" fillId="0" borderId="18" xfId="9" applyBorder="1" applyAlignmen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215881"/>
      <color rgb="FF42648A"/>
      <color rgb="FF969696"/>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84"/>
  <sheetViews>
    <sheetView showGridLines="0" tabSelected="1" showRuler="0" zoomScaleNormal="100" zoomScalePageLayoutView="70" workbookViewId="0">
      <pane ySplit="6" topLeftCell="A39" activePane="bottomLeft" state="frozen"/>
      <selection pane="bottomLeft" activeCell="D41" sqref="D41"/>
    </sheetView>
  </sheetViews>
  <sheetFormatPr defaultRowHeight="30" customHeight="1"/>
  <cols>
    <col min="1" max="1" width="2.7109375" style="45" customWidth="1"/>
    <col min="2" max="2" width="63" customWidth="1"/>
    <col min="3" max="3" width="22.7109375" customWidth="1"/>
    <col min="4" max="4" width="10.7109375" customWidth="1"/>
    <col min="5" max="5" width="10.28515625" style="5" customWidth="1"/>
    <col min="6" max="6" width="10.28515625" customWidth="1"/>
    <col min="7" max="7" width="2.7109375" customWidth="1"/>
    <col min="8" max="8" width="6.140625" hidden="1" customWidth="1"/>
    <col min="9" max="64" width="2.5703125" customWidth="1"/>
    <col min="69" max="70" width="10.28515625"/>
  </cols>
  <sheetData>
    <row r="1" spans="1:64" ht="30" customHeight="1">
      <c r="A1" s="46" t="s">
        <v>0</v>
      </c>
      <c r="B1" s="49" t="s">
        <v>1</v>
      </c>
      <c r="C1" s="1" t="s">
        <v>2</v>
      </c>
      <c r="D1" s="2"/>
      <c r="E1" s="4"/>
      <c r="F1" s="34"/>
      <c r="H1" s="2"/>
      <c r="I1" s="67" t="s">
        <v>3</v>
      </c>
    </row>
    <row r="2" spans="1:64" ht="30" customHeight="1">
      <c r="A2" s="45" t="s">
        <v>4</v>
      </c>
      <c r="B2" s="50" t="s">
        <v>5</v>
      </c>
      <c r="C2" t="s">
        <v>6</v>
      </c>
      <c r="I2" s="68" t="s">
        <v>7</v>
      </c>
    </row>
    <row r="3" spans="1:64" ht="30" customHeight="1">
      <c r="A3" s="45" t="s">
        <v>8</v>
      </c>
      <c r="B3" s="51" t="s">
        <v>9</v>
      </c>
      <c r="C3" s="100" t="s">
        <v>10</v>
      </c>
      <c r="D3" s="101"/>
      <c r="E3" s="102">
        <v>45960</v>
      </c>
      <c r="F3" s="103"/>
    </row>
    <row r="4" spans="1:64" ht="30" customHeight="1">
      <c r="A4" s="46" t="s">
        <v>11</v>
      </c>
      <c r="C4" s="100" t="s">
        <v>12</v>
      </c>
      <c r="D4" s="101"/>
      <c r="E4" s="7">
        <v>5</v>
      </c>
      <c r="I4" s="97">
        <f>I5</f>
        <v>45985</v>
      </c>
      <c r="J4" s="98"/>
      <c r="K4" s="98"/>
      <c r="L4" s="98"/>
      <c r="M4" s="98"/>
      <c r="N4" s="98"/>
      <c r="O4" s="99"/>
      <c r="P4" s="97">
        <f>P5</f>
        <v>45992</v>
      </c>
      <c r="Q4" s="98"/>
      <c r="R4" s="98"/>
      <c r="S4" s="98"/>
      <c r="T4" s="98"/>
      <c r="U4" s="98"/>
      <c r="V4" s="99"/>
      <c r="W4" s="97">
        <f>W5</f>
        <v>45999</v>
      </c>
      <c r="X4" s="98"/>
      <c r="Y4" s="98"/>
      <c r="Z4" s="98"/>
      <c r="AA4" s="98"/>
      <c r="AB4" s="98"/>
      <c r="AC4" s="99"/>
      <c r="AD4" s="97">
        <f>AD5</f>
        <v>46006</v>
      </c>
      <c r="AE4" s="98"/>
      <c r="AF4" s="98"/>
      <c r="AG4" s="98"/>
      <c r="AH4" s="98"/>
      <c r="AI4" s="98"/>
      <c r="AJ4" s="99"/>
      <c r="AK4" s="97">
        <f>AK5</f>
        <v>46013</v>
      </c>
      <c r="AL4" s="98"/>
      <c r="AM4" s="98"/>
      <c r="AN4" s="98"/>
      <c r="AO4" s="98"/>
      <c r="AP4" s="98"/>
      <c r="AQ4" s="99"/>
      <c r="AR4" s="97">
        <f>AR5</f>
        <v>46020</v>
      </c>
      <c r="AS4" s="98"/>
      <c r="AT4" s="98"/>
      <c r="AU4" s="98"/>
      <c r="AV4" s="98"/>
      <c r="AW4" s="98"/>
      <c r="AX4" s="99"/>
      <c r="AY4" s="97">
        <f>AY5</f>
        <v>46027</v>
      </c>
      <c r="AZ4" s="98"/>
      <c r="BA4" s="98"/>
      <c r="BB4" s="98"/>
      <c r="BC4" s="98"/>
      <c r="BD4" s="98"/>
      <c r="BE4" s="99"/>
      <c r="BF4" s="97">
        <f>BF5</f>
        <v>46034</v>
      </c>
      <c r="BG4" s="98"/>
      <c r="BH4" s="98"/>
      <c r="BI4" s="98"/>
      <c r="BJ4" s="98"/>
      <c r="BK4" s="98"/>
      <c r="BL4" s="98"/>
    </row>
    <row r="5" spans="1:64" ht="15" customHeight="1">
      <c r="A5" s="46" t="s">
        <v>13</v>
      </c>
      <c r="B5" s="66"/>
      <c r="C5" s="66"/>
      <c r="D5" s="66"/>
      <c r="E5" s="66"/>
      <c r="F5" s="66"/>
      <c r="G5" s="66"/>
      <c r="I5" s="84">
        <f>Project_Start-WEEKDAY(Project_Start,1)+2+7*(Display_Week-1)</f>
        <v>45985</v>
      </c>
      <c r="J5" s="85">
        <f>I5+1</f>
        <v>45986</v>
      </c>
      <c r="K5" s="85">
        <f t="shared" ref="K5:AX5" si="0">J5+1</f>
        <v>45987</v>
      </c>
      <c r="L5" s="85">
        <f t="shared" si="0"/>
        <v>45988</v>
      </c>
      <c r="M5" s="85">
        <f t="shared" si="0"/>
        <v>45989</v>
      </c>
      <c r="N5" s="85">
        <f t="shared" si="0"/>
        <v>45990</v>
      </c>
      <c r="O5" s="86">
        <f t="shared" si="0"/>
        <v>45991</v>
      </c>
      <c r="P5" s="84">
        <f>O5+1</f>
        <v>45992</v>
      </c>
      <c r="Q5" s="85">
        <f>P5+1</f>
        <v>45993</v>
      </c>
      <c r="R5" s="85">
        <f t="shared" si="0"/>
        <v>45994</v>
      </c>
      <c r="S5" s="85">
        <f t="shared" si="0"/>
        <v>45995</v>
      </c>
      <c r="T5" s="85">
        <f t="shared" si="0"/>
        <v>45996</v>
      </c>
      <c r="U5" s="85">
        <f t="shared" si="0"/>
        <v>45997</v>
      </c>
      <c r="V5" s="86">
        <f t="shared" si="0"/>
        <v>45998</v>
      </c>
      <c r="W5" s="84">
        <f>V5+1</f>
        <v>45999</v>
      </c>
      <c r="X5" s="85">
        <f>W5+1</f>
        <v>46000</v>
      </c>
      <c r="Y5" s="85">
        <f t="shared" si="0"/>
        <v>46001</v>
      </c>
      <c r="Z5" s="85">
        <f t="shared" si="0"/>
        <v>46002</v>
      </c>
      <c r="AA5" s="85">
        <f t="shared" si="0"/>
        <v>46003</v>
      </c>
      <c r="AB5" s="85">
        <f t="shared" si="0"/>
        <v>46004</v>
      </c>
      <c r="AC5" s="86">
        <f t="shared" si="0"/>
        <v>46005</v>
      </c>
      <c r="AD5" s="84">
        <f>AC5+1</f>
        <v>46006</v>
      </c>
      <c r="AE5" s="85">
        <f>AD5+1</f>
        <v>46007</v>
      </c>
      <c r="AF5" s="85">
        <f t="shared" si="0"/>
        <v>46008</v>
      </c>
      <c r="AG5" s="85">
        <f t="shared" si="0"/>
        <v>46009</v>
      </c>
      <c r="AH5" s="85">
        <f t="shared" si="0"/>
        <v>46010</v>
      </c>
      <c r="AI5" s="85">
        <f t="shared" si="0"/>
        <v>46011</v>
      </c>
      <c r="AJ5" s="86">
        <f t="shared" si="0"/>
        <v>46012</v>
      </c>
      <c r="AK5" s="84">
        <f>AJ5+1</f>
        <v>46013</v>
      </c>
      <c r="AL5" s="85">
        <f>AK5+1</f>
        <v>46014</v>
      </c>
      <c r="AM5" s="85">
        <f t="shared" si="0"/>
        <v>46015</v>
      </c>
      <c r="AN5" s="85">
        <f t="shared" si="0"/>
        <v>46016</v>
      </c>
      <c r="AO5" s="85">
        <f t="shared" si="0"/>
        <v>46017</v>
      </c>
      <c r="AP5" s="85">
        <f t="shared" si="0"/>
        <v>46018</v>
      </c>
      <c r="AQ5" s="86">
        <f t="shared" si="0"/>
        <v>46019</v>
      </c>
      <c r="AR5" s="84">
        <f>AQ5+1</f>
        <v>46020</v>
      </c>
      <c r="AS5" s="85">
        <f>AR5+1</f>
        <v>46021</v>
      </c>
      <c r="AT5" s="85">
        <f t="shared" si="0"/>
        <v>46022</v>
      </c>
      <c r="AU5" s="85">
        <f t="shared" si="0"/>
        <v>46023</v>
      </c>
      <c r="AV5" s="85">
        <f t="shared" si="0"/>
        <v>46024</v>
      </c>
      <c r="AW5" s="85">
        <f t="shared" si="0"/>
        <v>46025</v>
      </c>
      <c r="AX5" s="86">
        <f t="shared" si="0"/>
        <v>46026</v>
      </c>
      <c r="AY5" s="84">
        <f>AX5+1</f>
        <v>46027</v>
      </c>
      <c r="AZ5" s="85">
        <f>AY5+1</f>
        <v>46028</v>
      </c>
      <c r="BA5" s="85">
        <f t="shared" ref="BA5:BE5" si="1">AZ5+1</f>
        <v>46029</v>
      </c>
      <c r="BB5" s="85">
        <f t="shared" si="1"/>
        <v>46030</v>
      </c>
      <c r="BC5" s="85">
        <f t="shared" si="1"/>
        <v>46031</v>
      </c>
      <c r="BD5" s="85">
        <f t="shared" si="1"/>
        <v>46032</v>
      </c>
      <c r="BE5" s="86">
        <f t="shared" si="1"/>
        <v>46033</v>
      </c>
      <c r="BF5" s="84">
        <f>BE5+1</f>
        <v>46034</v>
      </c>
      <c r="BG5" s="85">
        <f>BF5+1</f>
        <v>46035</v>
      </c>
      <c r="BH5" s="85">
        <f t="shared" ref="BH5:BL5" si="2">BG5+1</f>
        <v>46036</v>
      </c>
      <c r="BI5" s="85">
        <f t="shared" si="2"/>
        <v>46037</v>
      </c>
      <c r="BJ5" s="85">
        <f t="shared" si="2"/>
        <v>46038</v>
      </c>
      <c r="BK5" s="85">
        <f t="shared" si="2"/>
        <v>46039</v>
      </c>
      <c r="BL5" s="86">
        <f t="shared" si="2"/>
        <v>46040</v>
      </c>
    </row>
    <row r="6" spans="1:64" ht="30" customHeight="1">
      <c r="A6" s="46" t="s">
        <v>14</v>
      </c>
      <c r="B6" s="8" t="s">
        <v>15</v>
      </c>
      <c r="C6" s="9" t="s">
        <v>16</v>
      </c>
      <c r="D6" s="9" t="s">
        <v>17</v>
      </c>
      <c r="E6" s="9" t="s">
        <v>18</v>
      </c>
      <c r="F6" s="9" t="s">
        <v>19</v>
      </c>
      <c r="G6" s="9"/>
      <c r="H6" s="9" t="s">
        <v>20</v>
      </c>
      <c r="I6" s="10" t="str">
        <f t="shared" ref="I6" si="3">LEFT(TEXT(I5,"ddd"),1)</f>
        <v>M</v>
      </c>
      <c r="J6" s="10" t="str">
        <f t="shared" ref="J6:AR6" si="4">LEFT(TEXT(J5,"ddd"),1)</f>
        <v>T</v>
      </c>
      <c r="K6" s="10" t="str">
        <f t="shared" si="4"/>
        <v>W</v>
      </c>
      <c r="L6" s="10" t="str">
        <f t="shared" si="4"/>
        <v>T</v>
      </c>
      <c r="M6" s="10" t="str">
        <f t="shared" si="4"/>
        <v>F</v>
      </c>
      <c r="N6" s="10" t="str">
        <f t="shared" si="4"/>
        <v>S</v>
      </c>
      <c r="O6" s="10" t="str">
        <f t="shared" si="4"/>
        <v>S</v>
      </c>
      <c r="P6" s="10" t="str">
        <f t="shared" si="4"/>
        <v>M</v>
      </c>
      <c r="Q6" s="10" t="str">
        <f t="shared" si="4"/>
        <v>T</v>
      </c>
      <c r="R6" s="10" t="str">
        <f t="shared" si="4"/>
        <v>W</v>
      </c>
      <c r="S6" s="10" t="str">
        <f t="shared" si="4"/>
        <v>T</v>
      </c>
      <c r="T6" s="10" t="str">
        <f t="shared" si="4"/>
        <v>F</v>
      </c>
      <c r="U6" s="10" t="str">
        <f t="shared" si="4"/>
        <v>S</v>
      </c>
      <c r="V6" s="10" t="str">
        <f t="shared" si="4"/>
        <v>S</v>
      </c>
      <c r="W6" s="10" t="str">
        <f t="shared" si="4"/>
        <v>M</v>
      </c>
      <c r="X6" s="10" t="str">
        <f t="shared" si="4"/>
        <v>T</v>
      </c>
      <c r="Y6" s="10" t="str">
        <f t="shared" si="4"/>
        <v>W</v>
      </c>
      <c r="Z6" s="10" t="str">
        <f t="shared" si="4"/>
        <v>T</v>
      </c>
      <c r="AA6" s="10" t="str">
        <f t="shared" si="4"/>
        <v>F</v>
      </c>
      <c r="AB6" s="10" t="str">
        <f t="shared" si="4"/>
        <v>S</v>
      </c>
      <c r="AC6" s="10" t="str">
        <f t="shared" si="4"/>
        <v>S</v>
      </c>
      <c r="AD6" s="10" t="str">
        <f t="shared" si="4"/>
        <v>M</v>
      </c>
      <c r="AE6" s="10" t="str">
        <f t="shared" si="4"/>
        <v>T</v>
      </c>
      <c r="AF6" s="10" t="str">
        <f t="shared" si="4"/>
        <v>W</v>
      </c>
      <c r="AG6" s="10" t="str">
        <f t="shared" si="4"/>
        <v>T</v>
      </c>
      <c r="AH6" s="10" t="str">
        <f t="shared" si="4"/>
        <v>F</v>
      </c>
      <c r="AI6" s="10" t="str">
        <f t="shared" si="4"/>
        <v>S</v>
      </c>
      <c r="AJ6" s="10" t="str">
        <f t="shared" si="4"/>
        <v>S</v>
      </c>
      <c r="AK6" s="10" t="str">
        <f t="shared" si="4"/>
        <v>M</v>
      </c>
      <c r="AL6" s="10" t="str">
        <f t="shared" si="4"/>
        <v>T</v>
      </c>
      <c r="AM6" s="10" t="str">
        <f t="shared" si="4"/>
        <v>W</v>
      </c>
      <c r="AN6" s="10" t="str">
        <f t="shared" si="4"/>
        <v>T</v>
      </c>
      <c r="AO6" s="10" t="str">
        <f t="shared" si="4"/>
        <v>F</v>
      </c>
      <c r="AP6" s="10" t="str">
        <f t="shared" si="4"/>
        <v>S</v>
      </c>
      <c r="AQ6" s="10" t="str">
        <f t="shared" si="4"/>
        <v>S</v>
      </c>
      <c r="AR6" s="10" t="str">
        <f t="shared" si="4"/>
        <v>M</v>
      </c>
      <c r="AS6" s="10" t="str">
        <f t="shared" ref="AS6:BL6" si="5">LEFT(TEXT(AS5,"ddd"),1)</f>
        <v>T</v>
      </c>
      <c r="AT6" s="10" t="str">
        <f t="shared" si="5"/>
        <v>W</v>
      </c>
      <c r="AU6" s="10" t="str">
        <f t="shared" si="5"/>
        <v>T</v>
      </c>
      <c r="AV6" s="10" t="str">
        <f t="shared" si="5"/>
        <v>F</v>
      </c>
      <c r="AW6" s="10" t="str">
        <f t="shared" si="5"/>
        <v>S</v>
      </c>
      <c r="AX6" s="10" t="str">
        <f t="shared" si="5"/>
        <v>S</v>
      </c>
      <c r="AY6" s="10" t="str">
        <f t="shared" si="5"/>
        <v>M</v>
      </c>
      <c r="AZ6" s="10" t="str">
        <f t="shared" si="5"/>
        <v>T</v>
      </c>
      <c r="BA6" s="10" t="str">
        <f t="shared" si="5"/>
        <v>W</v>
      </c>
      <c r="BB6" s="10" t="str">
        <f t="shared" si="5"/>
        <v>T</v>
      </c>
      <c r="BC6" s="10" t="str">
        <f t="shared" si="5"/>
        <v>F</v>
      </c>
      <c r="BD6" s="10" t="str">
        <f t="shared" si="5"/>
        <v>S</v>
      </c>
      <c r="BE6" s="10" t="str">
        <f t="shared" si="5"/>
        <v>S</v>
      </c>
      <c r="BF6" s="10" t="str">
        <f t="shared" si="5"/>
        <v>M</v>
      </c>
      <c r="BG6" s="10" t="str">
        <f t="shared" si="5"/>
        <v>T</v>
      </c>
      <c r="BH6" s="10" t="str">
        <f t="shared" si="5"/>
        <v>W</v>
      </c>
      <c r="BI6" s="10" t="str">
        <f t="shared" si="5"/>
        <v>T</v>
      </c>
      <c r="BJ6" s="10" t="str">
        <f t="shared" si="5"/>
        <v>F</v>
      </c>
      <c r="BK6" s="10" t="str">
        <f t="shared" si="5"/>
        <v>S</v>
      </c>
      <c r="BL6" s="10" t="str">
        <f t="shared" si="5"/>
        <v>S</v>
      </c>
    </row>
    <row r="7" spans="1:64" ht="30" hidden="1" customHeight="1">
      <c r="A7" s="45" t="s">
        <v>21</v>
      </c>
      <c r="C7" s="48"/>
      <c r="E7"/>
      <c r="H7" t="str">
        <f ca="1">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c r="A8" s="46" t="s">
        <v>22</v>
      </c>
      <c r="B8" s="15" t="s">
        <v>23</v>
      </c>
      <c r="C8" s="52"/>
      <c r="D8" s="16"/>
      <c r="E8" s="70"/>
      <c r="F8" s="71"/>
      <c r="G8" s="14"/>
      <c r="H8" s="14" t="str">
        <f t="shared" ref="H8:H81" ca="1"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c r="A9" s="46" t="s">
        <v>24</v>
      </c>
      <c r="B9" s="89" t="s">
        <v>25</v>
      </c>
      <c r="C9" s="88" t="s">
        <v>26</v>
      </c>
      <c r="D9" s="17">
        <v>1</v>
      </c>
      <c r="E9" s="87">
        <v>45961</v>
      </c>
      <c r="F9" s="87">
        <v>45964</v>
      </c>
      <c r="G9" s="14"/>
      <c r="H9" s="14">
        <f ca="1">IF(OR(ISBLANK(task_start),ISBLANK(task_end)),"",task_end-task_start+1)</f>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c r="A10" s="46" t="s">
        <v>27</v>
      </c>
      <c r="B10" s="89" t="s">
        <v>28</v>
      </c>
      <c r="C10" s="88" t="s">
        <v>29</v>
      </c>
      <c r="D10" s="17">
        <v>1</v>
      </c>
      <c r="E10" s="87">
        <v>45961</v>
      </c>
      <c r="F10" s="87">
        <v>45964</v>
      </c>
      <c r="G10" s="14"/>
      <c r="H10" s="14">
        <f t="shared" ca="1" si="6"/>
        <v>4</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c r="A11" s="45"/>
      <c r="B11" s="61" t="s">
        <v>30</v>
      </c>
      <c r="C11" s="53" t="s">
        <v>31</v>
      </c>
      <c r="D11" s="17">
        <v>1</v>
      </c>
      <c r="E11" s="87">
        <v>45961</v>
      </c>
      <c r="F11" s="87">
        <v>45964</v>
      </c>
      <c r="G11" s="14"/>
      <c r="H11" s="14">
        <f t="shared" ca="1" si="6"/>
        <v>4</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c r="A12" s="46" t="s">
        <v>32</v>
      </c>
      <c r="B12" s="18" t="s">
        <v>33</v>
      </c>
      <c r="C12" s="54"/>
      <c r="D12" s="19"/>
      <c r="E12" s="72"/>
      <c r="F12" s="73"/>
      <c r="G12" s="14"/>
      <c r="H12" s="14" t="str">
        <f t="shared" ca="1" si="6"/>
        <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c r="A13" s="46"/>
      <c r="B13" s="93" t="s">
        <v>34</v>
      </c>
      <c r="C13" s="55"/>
      <c r="D13" s="20">
        <v>1</v>
      </c>
      <c r="E13" s="74">
        <f>E11+1</f>
        <v>45962</v>
      </c>
      <c r="F13" s="74">
        <v>45968</v>
      </c>
      <c r="G13" s="14"/>
      <c r="H13" s="14">
        <f t="shared" ca="1" si="6"/>
        <v>7</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c r="A14" s="46"/>
      <c r="B14" s="92" t="s">
        <v>35</v>
      </c>
      <c r="C14" s="55"/>
      <c r="D14" s="20">
        <v>1</v>
      </c>
      <c r="E14" s="74">
        <v>45962</v>
      </c>
      <c r="F14" s="74">
        <v>45966</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c r="A15" s="46"/>
      <c r="B15" s="91" t="s">
        <v>36</v>
      </c>
      <c r="C15" s="55" t="s">
        <v>26</v>
      </c>
      <c r="D15" s="20">
        <v>1</v>
      </c>
      <c r="E15" s="74">
        <v>45962</v>
      </c>
      <c r="F15" s="74">
        <v>45966</v>
      </c>
      <c r="G15" s="14"/>
      <c r="H15" s="14"/>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c r="A16" s="46"/>
      <c r="B16" s="91" t="s">
        <v>37</v>
      </c>
      <c r="C16" s="55" t="s">
        <v>26</v>
      </c>
      <c r="D16" s="20">
        <v>1</v>
      </c>
      <c r="E16" s="74">
        <v>45962</v>
      </c>
      <c r="F16" s="74">
        <v>45966</v>
      </c>
      <c r="G16" s="14"/>
      <c r="H16" s="14"/>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c r="A17" s="46"/>
      <c r="B17" s="92" t="s">
        <v>38</v>
      </c>
      <c r="C17" s="55"/>
      <c r="D17" s="20">
        <v>1</v>
      </c>
      <c r="E17" s="74">
        <v>45964</v>
      </c>
      <c r="F17" s="74">
        <v>45968</v>
      </c>
      <c r="G17" s="14"/>
      <c r="H17" s="14"/>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c r="A18" s="46"/>
      <c r="B18" s="91" t="s">
        <v>39</v>
      </c>
      <c r="C18" s="55" t="s">
        <v>40</v>
      </c>
      <c r="D18" s="20">
        <v>1</v>
      </c>
      <c r="E18" s="74">
        <v>45964</v>
      </c>
      <c r="F18" s="74">
        <v>45968</v>
      </c>
      <c r="G18" s="14"/>
      <c r="H18" s="14"/>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c r="A19" s="46"/>
      <c r="B19" s="91" t="s">
        <v>41</v>
      </c>
      <c r="C19" s="55" t="s">
        <v>42</v>
      </c>
      <c r="D19" s="20">
        <v>1</v>
      </c>
      <c r="E19" s="74">
        <v>45964</v>
      </c>
      <c r="F19" s="74">
        <v>45968</v>
      </c>
      <c r="G19" s="14"/>
      <c r="H19" s="14"/>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c r="A20" s="46"/>
      <c r="B20" s="91" t="s">
        <v>43</v>
      </c>
      <c r="C20" s="55" t="s">
        <v>44</v>
      </c>
      <c r="D20" s="20">
        <v>1</v>
      </c>
      <c r="E20" s="74">
        <v>45964</v>
      </c>
      <c r="F20" s="74">
        <v>45968</v>
      </c>
      <c r="G20" s="14"/>
      <c r="H20" s="14"/>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c r="A21" s="46"/>
      <c r="B21" s="93" t="s">
        <v>45</v>
      </c>
      <c r="C21" s="55"/>
      <c r="D21" s="90">
        <v>1</v>
      </c>
      <c r="E21" s="74">
        <v>45969</v>
      </c>
      <c r="F21" s="74">
        <v>45983</v>
      </c>
      <c r="G21" s="14"/>
      <c r="H21" s="14"/>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c r="A22" s="46"/>
      <c r="B22" s="92" t="s">
        <v>46</v>
      </c>
      <c r="C22" s="55" t="s">
        <v>26</v>
      </c>
      <c r="D22" s="20">
        <v>1</v>
      </c>
      <c r="E22" s="74">
        <v>45969</v>
      </c>
      <c r="F22" s="74">
        <v>45974</v>
      </c>
      <c r="G22" s="14"/>
      <c r="H22" s="14"/>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c r="A23" s="46"/>
      <c r="B23" s="91" t="s">
        <v>47</v>
      </c>
      <c r="C23" s="55" t="s">
        <v>26</v>
      </c>
      <c r="D23" s="20">
        <v>1</v>
      </c>
      <c r="E23" s="74">
        <v>45969</v>
      </c>
      <c r="F23" s="74">
        <v>45974</v>
      </c>
      <c r="G23" s="14"/>
      <c r="H23" s="14"/>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c r="A24" s="46"/>
      <c r="B24" s="91" t="s">
        <v>48</v>
      </c>
      <c r="C24" s="55" t="s">
        <v>26</v>
      </c>
      <c r="D24" s="20">
        <v>1</v>
      </c>
      <c r="E24" s="74">
        <v>45969</v>
      </c>
      <c r="F24" s="74">
        <v>45974</v>
      </c>
      <c r="G24" s="14"/>
      <c r="H24" s="14"/>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c r="A25" s="46"/>
      <c r="B25" s="92" t="s">
        <v>49</v>
      </c>
      <c r="C25" s="55"/>
      <c r="D25" s="20">
        <v>1</v>
      </c>
      <c r="E25" s="74">
        <v>45974</v>
      </c>
      <c r="F25" s="74">
        <v>45986</v>
      </c>
      <c r="G25" s="14"/>
      <c r="H25" s="14"/>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c r="A26" s="46"/>
      <c r="B26" s="91" t="s">
        <v>50</v>
      </c>
      <c r="C26" s="55" t="s">
        <v>51</v>
      </c>
      <c r="D26" s="20">
        <v>1</v>
      </c>
      <c r="E26" s="74">
        <v>45974</v>
      </c>
      <c r="F26" s="74">
        <v>45986</v>
      </c>
      <c r="G26" s="14"/>
      <c r="H26" s="14"/>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c r="A27" s="46"/>
      <c r="B27" s="91" t="s">
        <v>52</v>
      </c>
      <c r="C27" s="55" t="s">
        <v>40</v>
      </c>
      <c r="D27" s="20">
        <v>1</v>
      </c>
      <c r="E27" s="74">
        <v>45974</v>
      </c>
      <c r="F27" s="74">
        <v>45986</v>
      </c>
      <c r="G27" s="14"/>
      <c r="H27" s="14"/>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c r="A28" s="46"/>
      <c r="B28" s="91" t="s">
        <v>53</v>
      </c>
      <c r="C28" s="55" t="s">
        <v>54</v>
      </c>
      <c r="D28" s="20">
        <v>1</v>
      </c>
      <c r="E28" s="74">
        <v>45974</v>
      </c>
      <c r="F28" s="74">
        <v>45986</v>
      </c>
      <c r="G28" s="14"/>
      <c r="H28" s="14"/>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c r="A29" s="46"/>
      <c r="B29" s="93" t="s">
        <v>55</v>
      </c>
      <c r="C29" s="55"/>
      <c r="D29" s="20">
        <v>1</v>
      </c>
      <c r="E29" s="74">
        <v>45984</v>
      </c>
      <c r="F29" s="74">
        <v>46012</v>
      </c>
      <c r="G29" s="14"/>
      <c r="H29" s="14"/>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c r="A30" s="46"/>
      <c r="B30" s="92" t="s">
        <v>56</v>
      </c>
      <c r="C30" s="55"/>
      <c r="D30" s="20">
        <v>1</v>
      </c>
      <c r="E30" s="74">
        <v>45984</v>
      </c>
      <c r="F30" s="74">
        <v>45990</v>
      </c>
      <c r="G30" s="14"/>
      <c r="H30" s="14"/>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c r="A31" s="46"/>
      <c r="B31" s="91" t="s">
        <v>57</v>
      </c>
      <c r="C31" s="55" t="s">
        <v>26</v>
      </c>
      <c r="D31" s="20">
        <v>1</v>
      </c>
      <c r="E31" s="74">
        <v>45984</v>
      </c>
      <c r="F31" s="74">
        <v>45990</v>
      </c>
      <c r="G31" s="14"/>
      <c r="H31" s="14"/>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c r="A32" s="46"/>
      <c r="B32" s="91" t="s">
        <v>58</v>
      </c>
      <c r="C32" s="55" t="s">
        <v>26</v>
      </c>
      <c r="D32" s="20">
        <v>1</v>
      </c>
      <c r="E32" s="74">
        <v>45984</v>
      </c>
      <c r="F32" s="74">
        <v>45990</v>
      </c>
      <c r="G32" s="14"/>
      <c r="H32" s="14"/>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c r="A33" s="46"/>
      <c r="B33" s="92" t="s">
        <v>59</v>
      </c>
      <c r="C33" s="55"/>
      <c r="D33" s="20">
        <v>1</v>
      </c>
      <c r="E33" s="74">
        <v>45986</v>
      </c>
      <c r="F33" s="74">
        <v>46012</v>
      </c>
      <c r="G33" s="14"/>
      <c r="H33" s="14"/>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c r="A34" s="46"/>
      <c r="B34" s="91" t="s">
        <v>60</v>
      </c>
      <c r="C34" s="55" t="s">
        <v>51</v>
      </c>
      <c r="D34" s="20">
        <v>1</v>
      </c>
      <c r="E34" s="74">
        <v>45986</v>
      </c>
      <c r="F34" s="74">
        <v>45994</v>
      </c>
      <c r="G34" s="14"/>
      <c r="H34" s="14"/>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row>
    <row r="35" spans="1:64" s="3" customFormat="1" ht="30" customHeight="1">
      <c r="A35" s="46"/>
      <c r="B35" s="91" t="s">
        <v>61</v>
      </c>
      <c r="C35" s="55" t="s">
        <v>42</v>
      </c>
      <c r="D35" s="20">
        <v>1</v>
      </c>
      <c r="E35" s="74">
        <v>45986</v>
      </c>
      <c r="F35" s="74">
        <v>45994</v>
      </c>
      <c r="G35" s="14"/>
      <c r="H35" s="14"/>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row>
    <row r="36" spans="1:64" s="3" customFormat="1" ht="30" customHeight="1">
      <c r="A36" s="46"/>
      <c r="B36" s="91" t="s">
        <v>62</v>
      </c>
      <c r="C36" s="55" t="s">
        <v>26</v>
      </c>
      <c r="D36" s="20">
        <v>1</v>
      </c>
      <c r="E36" s="74">
        <v>45986</v>
      </c>
      <c r="F36" s="74">
        <v>46012</v>
      </c>
      <c r="G36" s="14"/>
      <c r="H36" s="14"/>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row>
    <row r="37" spans="1:64" s="3" customFormat="1" ht="30" customHeight="1">
      <c r="A37" s="46"/>
      <c r="B37" s="91" t="s">
        <v>63</v>
      </c>
      <c r="C37" s="55" t="s">
        <v>29</v>
      </c>
      <c r="D37" s="20">
        <v>1</v>
      </c>
      <c r="E37" s="74">
        <v>45986</v>
      </c>
      <c r="F37" s="74">
        <v>46012</v>
      </c>
      <c r="G37" s="14"/>
      <c r="H37" s="14"/>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row>
    <row r="38" spans="1:64" s="3" customFormat="1" ht="30" customHeight="1">
      <c r="A38" s="46"/>
      <c r="B38" s="91" t="s">
        <v>64</v>
      </c>
      <c r="C38" s="55" t="s">
        <v>26</v>
      </c>
      <c r="D38" s="20">
        <v>1</v>
      </c>
      <c r="E38" s="74">
        <v>45986</v>
      </c>
      <c r="F38" s="74">
        <v>46012</v>
      </c>
      <c r="G38" s="14"/>
      <c r="H38" s="14"/>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row>
    <row r="39" spans="1:64" s="3" customFormat="1" ht="30" customHeight="1">
      <c r="A39" s="46"/>
      <c r="B39" s="91" t="s">
        <v>65</v>
      </c>
      <c r="C39" s="55" t="s">
        <v>66</v>
      </c>
      <c r="D39" s="20">
        <v>1</v>
      </c>
      <c r="E39" s="74">
        <v>45986</v>
      </c>
      <c r="F39" s="74">
        <v>46012</v>
      </c>
      <c r="G39" s="14"/>
      <c r="H39" s="14"/>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96"/>
      <c r="AI39" s="96"/>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row>
    <row r="40" spans="1:64" s="3" customFormat="1" ht="30" customHeight="1">
      <c r="A40" s="46"/>
      <c r="B40" s="91" t="s">
        <v>67</v>
      </c>
      <c r="C40" s="55" t="s">
        <v>54</v>
      </c>
      <c r="D40" s="20">
        <v>1</v>
      </c>
      <c r="E40" s="74">
        <v>45986</v>
      </c>
      <c r="F40" s="74">
        <v>46012</v>
      </c>
      <c r="G40" s="14"/>
      <c r="H40" s="14"/>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row>
    <row r="41" spans="1:64" s="3" customFormat="1" ht="30" customHeight="1">
      <c r="A41" s="46"/>
      <c r="B41" s="93" t="s">
        <v>68</v>
      </c>
      <c r="C41" s="55"/>
      <c r="D41" s="20">
        <v>1</v>
      </c>
      <c r="E41" s="74"/>
      <c r="F41" s="74"/>
      <c r="G41" s="14"/>
      <c r="H41" s="14"/>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row>
    <row r="42" spans="1:64" s="3" customFormat="1" ht="30" customHeight="1">
      <c r="A42" s="46"/>
      <c r="B42" s="92" t="s">
        <v>69</v>
      </c>
      <c r="C42" s="55"/>
      <c r="D42" s="20">
        <v>1</v>
      </c>
      <c r="E42" s="74">
        <v>45990</v>
      </c>
      <c r="F42" s="74">
        <v>45994</v>
      </c>
      <c r="G42" s="14"/>
      <c r="H42" s="14"/>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row>
    <row r="43" spans="1:64" s="3" customFormat="1" ht="30" customHeight="1">
      <c r="A43" s="46"/>
      <c r="B43" s="91" t="s">
        <v>70</v>
      </c>
      <c r="C43" s="55" t="s">
        <v>26</v>
      </c>
      <c r="D43" s="20">
        <v>1</v>
      </c>
      <c r="E43" s="74">
        <v>45990</v>
      </c>
      <c r="F43" s="74">
        <v>45994</v>
      </c>
      <c r="G43" s="14"/>
      <c r="H43" s="14"/>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row>
    <row r="44" spans="1:64" s="3" customFormat="1" ht="30" customHeight="1">
      <c r="A44" s="46"/>
      <c r="B44" s="91" t="s">
        <v>71</v>
      </c>
      <c r="C44" s="55" t="s">
        <v>26</v>
      </c>
      <c r="D44" s="20">
        <v>1</v>
      </c>
      <c r="E44" s="74">
        <v>45990</v>
      </c>
      <c r="F44" s="74">
        <v>45994</v>
      </c>
      <c r="G44" s="14"/>
      <c r="H44" s="14"/>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row>
    <row r="45" spans="1:64" s="3" customFormat="1" ht="30" customHeight="1">
      <c r="A45" s="46"/>
      <c r="B45" s="92" t="s">
        <v>72</v>
      </c>
      <c r="C45" s="55"/>
      <c r="D45" s="20">
        <v>1</v>
      </c>
      <c r="E45" s="74">
        <v>45990</v>
      </c>
      <c r="F45" s="74">
        <v>46012</v>
      </c>
      <c r="G45" s="14"/>
      <c r="H45" s="14"/>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row>
    <row r="46" spans="1:64" s="3" customFormat="1" ht="30" customHeight="1">
      <c r="A46" s="46"/>
      <c r="B46" s="91" t="s">
        <v>73</v>
      </c>
      <c r="C46" s="55"/>
      <c r="D46" s="20">
        <v>1</v>
      </c>
      <c r="E46" s="74">
        <v>45990</v>
      </c>
      <c r="F46" s="74">
        <v>46012</v>
      </c>
      <c r="G46" s="14"/>
      <c r="H46" s="14"/>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row>
    <row r="47" spans="1:64" s="3" customFormat="1" ht="30" customHeight="1">
      <c r="A47" s="46"/>
      <c r="B47" s="91" t="s">
        <v>74</v>
      </c>
      <c r="C47" s="55"/>
      <c r="D47" s="20">
        <v>1</v>
      </c>
      <c r="E47" s="74">
        <v>45990</v>
      </c>
      <c r="F47" s="74">
        <v>46012</v>
      </c>
      <c r="G47" s="14"/>
      <c r="H47" s="14"/>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row>
    <row r="48" spans="1:64" s="3" customFormat="1" ht="30" customHeight="1">
      <c r="A48" s="46"/>
      <c r="B48" s="91" t="s">
        <v>75</v>
      </c>
      <c r="C48" s="55" t="s">
        <v>29</v>
      </c>
      <c r="D48" s="20">
        <v>1</v>
      </c>
      <c r="E48" s="74">
        <v>45995</v>
      </c>
      <c r="F48" s="74">
        <v>46012</v>
      </c>
      <c r="G48" s="14"/>
      <c r="H48" s="14"/>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row>
    <row r="49" spans="1:64" s="3" customFormat="1" ht="30" customHeight="1">
      <c r="A49" s="46"/>
      <c r="B49" s="91" t="s">
        <v>76</v>
      </c>
      <c r="C49" s="55" t="s">
        <v>77</v>
      </c>
      <c r="D49" s="20">
        <v>1</v>
      </c>
      <c r="E49" s="74">
        <v>45995</v>
      </c>
      <c r="F49" s="74">
        <v>46012</v>
      </c>
      <c r="G49" s="14"/>
      <c r="H49" s="14"/>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row>
    <row r="50" spans="1:64" s="3" customFormat="1" ht="30" customHeight="1">
      <c r="A50" s="46"/>
      <c r="B50" s="91" t="s">
        <v>78</v>
      </c>
      <c r="C50" s="55" t="s">
        <v>54</v>
      </c>
      <c r="D50" s="20">
        <v>1</v>
      </c>
      <c r="E50" s="74">
        <v>45995</v>
      </c>
      <c r="F50" s="74">
        <v>46012</v>
      </c>
      <c r="G50" s="14"/>
      <c r="H50" s="14"/>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row>
    <row r="51" spans="1:64" s="3" customFormat="1" ht="30" customHeight="1">
      <c r="A51" s="46"/>
      <c r="B51" s="93" t="s">
        <v>79</v>
      </c>
      <c r="C51" s="55"/>
      <c r="D51" s="20">
        <v>1</v>
      </c>
      <c r="E51" s="74">
        <v>45990</v>
      </c>
      <c r="F51" s="74">
        <v>46012</v>
      </c>
      <c r="G51" s="14"/>
      <c r="H51" s="14"/>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row>
    <row r="52" spans="1:64" s="3" customFormat="1" ht="30" customHeight="1">
      <c r="A52" s="46"/>
      <c r="B52" s="92" t="s">
        <v>80</v>
      </c>
      <c r="C52" s="55"/>
      <c r="D52" s="20">
        <v>1</v>
      </c>
      <c r="E52" s="74">
        <v>45995</v>
      </c>
      <c r="F52" s="74">
        <v>45997</v>
      </c>
      <c r="G52" s="14"/>
      <c r="H52" s="14"/>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row>
    <row r="53" spans="1:64" s="3" customFormat="1" ht="30" customHeight="1">
      <c r="A53" s="46"/>
      <c r="B53" s="91" t="s">
        <v>81</v>
      </c>
      <c r="C53" s="55" t="s">
        <v>26</v>
      </c>
      <c r="D53" s="20">
        <v>1</v>
      </c>
      <c r="E53" s="74">
        <v>45995</v>
      </c>
      <c r="F53" s="74">
        <v>45997</v>
      </c>
      <c r="G53" s="14"/>
      <c r="H53" s="14"/>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row>
    <row r="54" spans="1:64" s="3" customFormat="1" ht="30" customHeight="1">
      <c r="A54" s="46"/>
      <c r="B54" s="91" t="s">
        <v>82</v>
      </c>
      <c r="C54" s="55" t="s">
        <v>26</v>
      </c>
      <c r="D54" s="20">
        <v>1</v>
      </c>
      <c r="E54" s="74">
        <v>45995</v>
      </c>
      <c r="F54" s="74">
        <v>45997</v>
      </c>
      <c r="G54" s="14"/>
      <c r="H54" s="14"/>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row>
    <row r="55" spans="1:64" s="3" customFormat="1" ht="30" customHeight="1">
      <c r="A55" s="46"/>
      <c r="B55" s="92" t="s">
        <v>83</v>
      </c>
      <c r="C55" s="55"/>
      <c r="D55" s="20">
        <v>1</v>
      </c>
      <c r="E55" s="74"/>
      <c r="F55" s="74">
        <v>46012</v>
      </c>
      <c r="G55" s="14"/>
      <c r="H55" s="14"/>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row>
    <row r="56" spans="1:64" s="3" customFormat="1" ht="30" customHeight="1">
      <c r="A56" s="46"/>
      <c r="B56" s="94" t="s">
        <v>84</v>
      </c>
      <c r="C56" s="55"/>
      <c r="D56" s="20">
        <v>1</v>
      </c>
      <c r="E56" s="74"/>
      <c r="F56" s="74">
        <v>46012</v>
      </c>
      <c r="G56" s="14"/>
      <c r="H56" s="14"/>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row>
    <row r="57" spans="1:64" s="3" customFormat="1" ht="30" customHeight="1">
      <c r="A57" s="46"/>
      <c r="B57" s="95" t="s">
        <v>85</v>
      </c>
      <c r="C57" s="55"/>
      <c r="D57" s="20">
        <v>1</v>
      </c>
      <c r="E57" s="74"/>
      <c r="F57" s="74">
        <v>46012</v>
      </c>
      <c r="G57" s="14"/>
      <c r="H57" s="14"/>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row>
    <row r="58" spans="1:64" s="3" customFormat="1" ht="30" customHeight="1">
      <c r="A58" s="46"/>
      <c r="B58" s="95" t="s">
        <v>86</v>
      </c>
      <c r="C58" s="55"/>
      <c r="D58" s="20">
        <v>1</v>
      </c>
      <c r="E58" s="74"/>
      <c r="F58" s="74">
        <v>46012</v>
      </c>
      <c r="G58" s="14"/>
      <c r="H58" s="14"/>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row>
    <row r="59" spans="1:64" s="3" customFormat="1" ht="30" customHeight="1">
      <c r="A59" s="46"/>
      <c r="B59" s="94" t="s">
        <v>87</v>
      </c>
      <c r="C59" s="55"/>
      <c r="D59" s="20">
        <v>1</v>
      </c>
      <c r="E59" s="74"/>
      <c r="F59" s="74">
        <v>46012</v>
      </c>
      <c r="G59" s="14"/>
      <c r="H59" s="14"/>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row>
    <row r="60" spans="1:64" s="3" customFormat="1" ht="30" customHeight="1">
      <c r="A60" s="46"/>
      <c r="B60" s="95" t="s">
        <v>75</v>
      </c>
      <c r="C60" s="55"/>
      <c r="D60" s="20">
        <v>1</v>
      </c>
      <c r="E60" s="74"/>
      <c r="F60" s="74">
        <v>46012</v>
      </c>
      <c r="G60" s="14"/>
      <c r="H60" s="14"/>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row>
    <row r="61" spans="1:64" s="3" customFormat="1" ht="30" customHeight="1">
      <c r="A61" s="46"/>
      <c r="B61" s="95" t="s">
        <v>76</v>
      </c>
      <c r="C61" s="55"/>
      <c r="D61" s="20">
        <v>1</v>
      </c>
      <c r="E61" s="74"/>
      <c r="F61" s="74">
        <v>46012</v>
      </c>
      <c r="G61" s="14"/>
      <c r="H61" s="14"/>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row>
    <row r="62" spans="1:64" s="3" customFormat="1" ht="30" customHeight="1">
      <c r="A62" s="46"/>
      <c r="B62" s="95" t="s">
        <v>78</v>
      </c>
      <c r="C62" s="55"/>
      <c r="D62" s="20">
        <v>1</v>
      </c>
      <c r="E62" s="74"/>
      <c r="F62" s="74">
        <v>46012</v>
      </c>
      <c r="G62" s="14"/>
      <c r="H62" s="14"/>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row>
    <row r="63" spans="1:64" s="3" customFormat="1" ht="30" customHeight="1">
      <c r="A63" s="46"/>
      <c r="B63" s="94" t="s">
        <v>88</v>
      </c>
      <c r="C63" s="55"/>
      <c r="D63" s="20">
        <v>1</v>
      </c>
      <c r="E63" s="74"/>
      <c r="F63" s="74">
        <v>46012</v>
      </c>
      <c r="G63" s="14"/>
      <c r="H63" s="14"/>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row>
    <row r="64" spans="1:64" s="3" customFormat="1" ht="30" customHeight="1">
      <c r="A64" s="46"/>
      <c r="B64" s="95" t="s">
        <v>62</v>
      </c>
      <c r="C64" s="55"/>
      <c r="D64" s="20">
        <v>1</v>
      </c>
      <c r="E64" s="74"/>
      <c r="F64" s="74">
        <v>46012</v>
      </c>
      <c r="G64" s="14"/>
      <c r="H64" s="14"/>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row>
    <row r="65" spans="1:64" s="3" customFormat="1" ht="30" customHeight="1">
      <c r="A65" s="46"/>
      <c r="B65" s="95" t="s">
        <v>63</v>
      </c>
      <c r="C65" s="55"/>
      <c r="D65" s="20">
        <v>1</v>
      </c>
      <c r="E65" s="74"/>
      <c r="F65" s="74">
        <v>46012</v>
      </c>
      <c r="G65" s="14"/>
      <c r="H65" s="14"/>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row>
    <row r="66" spans="1:64" s="3" customFormat="1" ht="30" customHeight="1">
      <c r="A66" s="46"/>
      <c r="B66" s="95" t="s">
        <v>64</v>
      </c>
      <c r="C66" s="55"/>
      <c r="D66" s="20">
        <v>1</v>
      </c>
      <c r="E66" s="74"/>
      <c r="F66" s="74">
        <v>46012</v>
      </c>
      <c r="G66" s="14"/>
      <c r="H66" s="14"/>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row>
    <row r="67" spans="1:64" s="3" customFormat="1" ht="30" customHeight="1">
      <c r="A67" s="45"/>
      <c r="B67" s="62" t="s">
        <v>89</v>
      </c>
      <c r="C67" s="55"/>
      <c r="D67" s="20"/>
      <c r="E67" s="74"/>
      <c r="F67" s="74"/>
      <c r="G67" s="14"/>
      <c r="H67" s="14" t="str">
        <f t="shared" ca="1" si="6"/>
        <v/>
      </c>
      <c r="I67" s="31"/>
      <c r="J67" s="31"/>
      <c r="K67" s="31"/>
      <c r="L67" s="31"/>
      <c r="M67" s="31"/>
      <c r="N67" s="31"/>
      <c r="O67" s="31"/>
      <c r="P67" s="31"/>
      <c r="Q67" s="31"/>
      <c r="R67" s="31"/>
      <c r="S67" s="31"/>
      <c r="T67" s="31"/>
      <c r="U67" s="32"/>
      <c r="V67" s="32"/>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row>
    <row r="68" spans="1:64" s="3" customFormat="1" ht="30" customHeight="1">
      <c r="A68" s="45" t="s">
        <v>90</v>
      </c>
      <c r="B68" s="21" t="s">
        <v>91</v>
      </c>
      <c r="C68" s="56"/>
      <c r="D68" s="22"/>
      <c r="E68" s="75"/>
      <c r="F68" s="76"/>
      <c r="G68" s="14"/>
      <c r="H68" s="14" t="str">
        <f t="shared" ca="1" si="6"/>
        <v/>
      </c>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row>
    <row r="69" spans="1:64" s="3" customFormat="1" ht="30" customHeight="1">
      <c r="A69" s="45"/>
      <c r="B69" s="63" t="s">
        <v>92</v>
      </c>
      <c r="C69" s="57"/>
      <c r="D69" s="23"/>
      <c r="E69" s="77">
        <f>E9+15</f>
        <v>45976</v>
      </c>
      <c r="F69" s="77">
        <f>E69+5</f>
        <v>45981</v>
      </c>
      <c r="G69" s="14"/>
      <c r="H69" s="14">
        <f t="shared" ca="1" si="6"/>
        <v>6</v>
      </c>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row>
    <row r="70" spans="1:64" s="3" customFormat="1" ht="30" customHeight="1">
      <c r="A70" s="45"/>
      <c r="B70" s="63" t="s">
        <v>93</v>
      </c>
      <c r="C70" s="57"/>
      <c r="D70" s="23"/>
      <c r="E70" s="77">
        <f>F69+1</f>
        <v>45982</v>
      </c>
      <c r="F70" s="77">
        <f>E70+4</f>
        <v>45986</v>
      </c>
      <c r="G70" s="14"/>
      <c r="H70" s="14">
        <f t="shared" ca="1" si="6"/>
        <v>5</v>
      </c>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row>
    <row r="71" spans="1:64" s="3" customFormat="1" ht="30" customHeight="1">
      <c r="A71" s="45"/>
      <c r="B71" s="63" t="s">
        <v>94</v>
      </c>
      <c r="C71" s="57"/>
      <c r="D71" s="23"/>
      <c r="E71" s="77">
        <f>E70+5</f>
        <v>45987</v>
      </c>
      <c r="F71" s="77">
        <f>E71+5</f>
        <v>45992</v>
      </c>
      <c r="G71" s="14"/>
      <c r="H71" s="14">
        <f t="shared" ca="1" si="6"/>
        <v>6</v>
      </c>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row>
    <row r="72" spans="1:64" s="3" customFormat="1" ht="30" customHeight="1">
      <c r="A72" s="45"/>
      <c r="B72" s="63" t="s">
        <v>95</v>
      </c>
      <c r="C72" s="57"/>
      <c r="D72" s="23"/>
      <c r="E72" s="77">
        <f>F71+1</f>
        <v>45993</v>
      </c>
      <c r="F72" s="77">
        <f>E72+4</f>
        <v>45997</v>
      </c>
      <c r="G72" s="14"/>
      <c r="H72" s="14">
        <f t="shared" ca="1" si="6"/>
        <v>5</v>
      </c>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row>
    <row r="73" spans="1:64" s="3" customFormat="1" ht="30" customHeight="1">
      <c r="A73" s="45"/>
      <c r="B73" s="63" t="s">
        <v>96</v>
      </c>
      <c r="C73" s="57"/>
      <c r="D73" s="23"/>
      <c r="E73" s="77">
        <f>E71</f>
        <v>45987</v>
      </c>
      <c r="F73" s="77">
        <f>E73+4</f>
        <v>45991</v>
      </c>
      <c r="G73" s="14"/>
      <c r="H73" s="14">
        <f t="shared" ca="1" si="6"/>
        <v>5</v>
      </c>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row>
    <row r="74" spans="1:64" s="3" customFormat="1" ht="30" customHeight="1">
      <c r="A74" s="45" t="s">
        <v>90</v>
      </c>
      <c r="B74" s="24" t="s">
        <v>97</v>
      </c>
      <c r="C74" s="58"/>
      <c r="D74" s="25"/>
      <c r="E74" s="78"/>
      <c r="F74" s="79"/>
      <c r="G74" s="14"/>
      <c r="H74" s="14" t="str">
        <f t="shared" ca="1" si="6"/>
        <v/>
      </c>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row>
    <row r="75" spans="1:64" s="3" customFormat="1" ht="30" customHeight="1">
      <c r="A75" s="45"/>
      <c r="B75" s="64" t="s">
        <v>92</v>
      </c>
      <c r="C75" s="59"/>
      <c r="D75" s="26"/>
      <c r="E75" s="80" t="s">
        <v>98</v>
      </c>
      <c r="F75" s="80" t="s">
        <v>98</v>
      </c>
      <c r="G75" s="14"/>
      <c r="H75" s="14" t="e">
        <f t="shared" ca="1" si="6"/>
        <v>#VALUE!</v>
      </c>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row>
    <row r="76" spans="1:64" s="3" customFormat="1" ht="30" customHeight="1">
      <c r="A76" s="45"/>
      <c r="B76" s="64" t="s">
        <v>93</v>
      </c>
      <c r="C76" s="59"/>
      <c r="D76" s="26"/>
      <c r="E76" s="80" t="s">
        <v>98</v>
      </c>
      <c r="F76" s="80" t="s">
        <v>98</v>
      </c>
      <c r="G76" s="14"/>
      <c r="H76" s="14" t="e">
        <f t="shared" ca="1" si="6"/>
        <v>#VALUE!</v>
      </c>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row>
    <row r="77" spans="1:64" s="3" customFormat="1" ht="30" customHeight="1">
      <c r="A77" s="45"/>
      <c r="B77" s="64" t="s">
        <v>94</v>
      </c>
      <c r="C77" s="59"/>
      <c r="D77" s="26"/>
      <c r="E77" s="80" t="s">
        <v>98</v>
      </c>
      <c r="F77" s="80" t="s">
        <v>98</v>
      </c>
      <c r="G77" s="14"/>
      <c r="H77" s="14" t="e">
        <f t="shared" ca="1" si="6"/>
        <v>#VALUE!</v>
      </c>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row>
    <row r="78" spans="1:64" s="3" customFormat="1" ht="30" customHeight="1">
      <c r="A78" s="45"/>
      <c r="B78" s="64" t="s">
        <v>95</v>
      </c>
      <c r="C78" s="59"/>
      <c r="D78" s="26"/>
      <c r="E78" s="80" t="s">
        <v>98</v>
      </c>
      <c r="F78" s="80" t="s">
        <v>98</v>
      </c>
      <c r="G78" s="14"/>
      <c r="H78" s="14" t="e">
        <f t="shared" ca="1" si="6"/>
        <v>#VALUE!</v>
      </c>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row>
    <row r="79" spans="1:64" s="3" customFormat="1" ht="30" customHeight="1">
      <c r="A79" s="45"/>
      <c r="B79" s="64" t="s">
        <v>96</v>
      </c>
      <c r="C79" s="59"/>
      <c r="D79" s="26"/>
      <c r="E79" s="80" t="s">
        <v>98</v>
      </c>
      <c r="F79" s="80" t="s">
        <v>98</v>
      </c>
      <c r="G79" s="14"/>
      <c r="H79" s="14" t="e">
        <f t="shared" ca="1" si="6"/>
        <v>#VALUE!</v>
      </c>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row>
    <row r="80" spans="1:64" s="3" customFormat="1" ht="30" customHeight="1">
      <c r="A80" s="45" t="s">
        <v>99</v>
      </c>
      <c r="B80" s="65"/>
      <c r="C80" s="60"/>
      <c r="D80" s="13"/>
      <c r="E80" s="81"/>
      <c r="F80" s="81"/>
      <c r="G80" s="14"/>
      <c r="H80" s="14" t="str">
        <f t="shared" ca="1" si="6"/>
        <v/>
      </c>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row>
    <row r="81" spans="1:64" s="3" customFormat="1" ht="30" customHeight="1">
      <c r="A81" s="46" t="s">
        <v>100</v>
      </c>
      <c r="B81" s="27" t="s">
        <v>101</v>
      </c>
      <c r="C81" s="28"/>
      <c r="D81" s="29"/>
      <c r="E81" s="82"/>
      <c r="F81" s="83"/>
      <c r="G81" s="30"/>
      <c r="H81" s="30" t="str">
        <f t="shared" ca="1" si="6"/>
        <v/>
      </c>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row>
    <row r="82" spans="1:64" ht="30" customHeight="1">
      <c r="G82" s="6"/>
    </row>
    <row r="83" spans="1:64" ht="30" customHeight="1">
      <c r="C83" s="11"/>
      <c r="F83" s="47"/>
    </row>
    <row r="84" spans="1:64" ht="30" customHeight="1">
      <c r="C84"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81">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81">
    <cfRule type="expression" dxfId="2" priority="33">
      <formula>AND(TODAY()&gt;=I$5,TODAY()&lt;J$5)</formula>
    </cfRule>
  </conditionalFormatting>
  <conditionalFormatting sqref="I7:BL81">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70:F71 E71"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6"/>
  <sheetViews>
    <sheetView showGridLines="0" zoomScaleNormal="100" workbookViewId="0"/>
  </sheetViews>
  <sheetFormatPr defaultColWidth="9.140625" defaultRowHeight="14.25"/>
  <cols>
    <col min="1" max="1" width="87.140625" style="35" customWidth="1"/>
    <col min="2" max="16384" width="9.140625" style="2"/>
  </cols>
  <sheetData>
    <row r="1" spans="1:2" ht="46.5" customHeight="1"/>
    <row r="2" spans="1:2" s="37" customFormat="1" ht="15">
      <c r="A2" s="36" t="s">
        <v>3</v>
      </c>
      <c r="B2" s="36"/>
    </row>
    <row r="3" spans="1:2" s="41" customFormat="1" ht="27" customHeight="1">
      <c r="A3" s="69" t="s">
        <v>7</v>
      </c>
      <c r="B3" s="42"/>
    </row>
    <row r="4" spans="1:2" s="38" customFormat="1" ht="25.5">
      <c r="A4" s="39" t="s">
        <v>102</v>
      </c>
    </row>
    <row r="5" spans="1:2" ht="74.099999999999994" customHeight="1">
      <c r="A5" s="40" t="s">
        <v>103</v>
      </c>
    </row>
    <row r="6" spans="1:2" ht="26.25" customHeight="1">
      <c r="A6" s="39" t="s">
        <v>104</v>
      </c>
    </row>
    <row r="7" spans="1:2" s="35" customFormat="1" ht="204.95" customHeight="1">
      <c r="A7" s="44" t="s">
        <v>105</v>
      </c>
    </row>
    <row r="8" spans="1:2" s="38" customFormat="1" ht="25.5">
      <c r="A8" s="39" t="s">
        <v>106</v>
      </c>
    </row>
    <row r="9" spans="1:2" ht="41.25">
      <c r="A9" s="40" t="s">
        <v>107</v>
      </c>
    </row>
    <row r="10" spans="1:2" s="35" customFormat="1" ht="27.95" customHeight="1">
      <c r="A10" s="43" t="s">
        <v>108</v>
      </c>
    </row>
    <row r="11" spans="1:2" s="38" customFormat="1" ht="25.5">
      <c r="A11" s="39" t="s">
        <v>109</v>
      </c>
    </row>
    <row r="12" spans="1:2" ht="27.75">
      <c r="A12" s="40" t="s">
        <v>110</v>
      </c>
    </row>
    <row r="13" spans="1:2" s="35" customFormat="1" ht="27.95" customHeight="1">
      <c r="A13" s="43" t="s">
        <v>111</v>
      </c>
    </row>
    <row r="14" spans="1:2" s="38" customFormat="1" ht="25.5">
      <c r="A14" s="39" t="s">
        <v>112</v>
      </c>
    </row>
    <row r="15" spans="1:2" ht="75" customHeight="1">
      <c r="A15" s="40" t="s">
        <v>113</v>
      </c>
    </row>
    <row r="16" spans="1:2" ht="54.75">
      <c r="A16" s="40" t="s">
        <v>114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F7D37402469E459F56BC92FCA843B1" ma:contentTypeVersion="10" ma:contentTypeDescription="Create a new document." ma:contentTypeScope="" ma:versionID="67c9824b734bad0cf2973c08972a4650">
  <xsd:schema xmlns:xsd="http://www.w3.org/2001/XMLSchema" xmlns:xs="http://www.w3.org/2001/XMLSchema" xmlns:p="http://schemas.microsoft.com/office/2006/metadata/properties" xmlns:ns3="7df760f1-2c25-496c-ae81-e60606e7befc" targetNamespace="http://schemas.microsoft.com/office/2006/metadata/properties" ma:root="true" ma:fieldsID="e1476e7e1e263998f1c1df201c48dc81" ns3:_="">
    <xsd:import namespace="7df760f1-2c25-496c-ae81-e60606e7befc"/>
    <xsd:element name="properties">
      <xsd:complexType>
        <xsd:sequence>
          <xsd:element name="documentManagement">
            <xsd:complexType>
              <xsd:all>
                <xsd:element ref="ns3:MediaServiceMetadata" minOccurs="0"/>
                <xsd:element ref="ns3:MediaServiceFastMetadata" minOccurs="0"/>
                <xsd:element ref="ns3:_activity"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f760f1-2c25-496c-ae81-e60606e7be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df760f1-2c25-496c-ae81-e60606e7bef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CC5ECA-9AB0-4C0F-A69B-1ADC584FAF47}"/>
</file>

<file path=customXml/itemProps2.xml><?xml version="1.0" encoding="utf-8"?>
<ds:datastoreItem xmlns:ds="http://schemas.openxmlformats.org/officeDocument/2006/customXml" ds:itemID="{AC3AD2E1-977A-4D4F-8EE8-D64B5FFADF75}"/>
</file>

<file path=customXml/itemProps3.xml><?xml version="1.0" encoding="utf-8"?>
<ds:datastoreItem xmlns:ds="http://schemas.openxmlformats.org/officeDocument/2006/customXml" ds:itemID="{E4A34E49-7289-4AEA-9593-4F55E04ADB10}"/>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2025-12-21T18:57:07Z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0x01010044F7D37402469E459F56BC92FCA843B1</vt:lpwstr>
  </property>
</Properties>
</file>